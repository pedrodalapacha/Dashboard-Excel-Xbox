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  <Override PartName="/xl/pivotCache/pivotCacheRecords1.xml" ContentType="application/vnd.openxmlformats-officedocument.spreadsheetml.pivotCacheRecord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hidePivotFieldList="1" defaultThemeVersion="202300"/>
  <xr:revisionPtr revIDLastSave="0" documentId="8_{CA0B9602-E385-4F50-9596-679E24A4DCA2}" xr6:coauthVersionLast="47" xr6:coauthVersionMax="47" xr10:uidLastSave="{00000000-0000-0000-0000-000000000000}"/>
  <bookViews>
    <workbookView xWindow="-20610" yWindow="-1350" windowWidth="20730" windowHeight="1176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29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<sst xmlns="http://schemas.openxmlformats.org/spreadsheetml/2006/main" count="2022" uniqueCount="324">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</sst>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0074C5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0074C5"/>
        <bgColor indexed="64"/>
      </patternFill>
    </fill>
    <fill>
      <patternFill patternType="solid">
        <fgColor rgb="FF014E90"/>
        <bgColor indexed="64"/>
      </patternFill>
    </fill>
    <fill>
      <patternFill patternType="solid">
        <fgColor rgb="FF03588C"/>
        <bgColor indexed="64"/>
      </patternFill>
    </fill>
    <fill>
      <patternFill patternType="solid">
        <fgColor rgb="FF049DD9"/>
        <bgColor indexed="64"/>
      </patternFill>
    </fill>
    <fill>
      <patternFill patternType="solid">
        <fgColor rgb="FFEAF1F8"/>
        <bgColor indexed="64"/>
      </patternFill>
    </fill>
    <fill>
      <patternFill patternType="solid">
        <fgColor rgb="FFFFEB9C"/>
      </patternFill>
    </fill>
    <fill>
      <patternFill patternType="solid">
        <fgColor rgb="FFFF460A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FF460A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4" fillId="8" borderId="0" xfId="3" applyAlignment="1">
      <alignment horizontal="center"/>
    </xf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0" fillId="9" borderId="0" xfId="0" applyFill="1"/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014E90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"/>
      <tableStyleElement type="headerRow" dxfId="0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FB89E"/>
              </stop>
              <stop position="1">
                <color rgb="FFFFF0EA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FB89E"/>
              </stop>
              <stop position="1">
                <color rgb="FFFFF0EA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FB89E"/>
              </stop>
              <stop position="1">
                <color rgb="FFFFF0EA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FB89E"/>
              </stop>
              <stop position="1">
                <color rgb="FFFFF0EA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/>
            <color rgb="FFFFFFFF"/>
          </font>
          <fill>
            <patternFill patternType="solid">
              <fgColor rgb="FF0074C5"/>
              <bgColor rgb="FF0074C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[dashboard_xbox_finalizada.xlsx]C̳álculos!tbl_annual_total</c:name>
    <c:fmtId val="4"/>
  </c:pivotSource>
  <c:chart>
    <c:autoTitleDeleted val="1"/>
    <c:pivotFmts>
      <c:pivotFmt>
        <c:idx val="0"/>
        <c:spPr>
          <a:solidFill>
            <a:srgbClr val="0074C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74C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74C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14E9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74C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14E9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Relationship Id="rId90" Type="http://schemas.openxmlformats.org/officeDocument/2006/relationships/hyperlink" Target="https://www.linkedin.com/in/pedro-christo-9001b62b4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090737" y="1185863"/>
          <a:ext cx="4672013" cy="1654969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FF460A"/>
                </a:solidFill>
                <a:latin typeface="Aptos Narrow"/>
              </a:rPr>
              <a:pPr algn="ctr"/>
              <a:t> R$ 1.350,00 </a:t>
            </a:fld>
            <a:endParaRPr lang="pt-BR" sz="3600" kern="1200">
              <a:solidFill>
                <a:srgbClr val="FF460A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0074C5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717631" y="1185863"/>
          <a:ext cx="4669631" cy="1578769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FF460A"/>
                  </a:solidFill>
                  <a:latin typeface="Aptos Narrow"/>
                </a:rPr>
                <a:t> R$ 1.800,00 </a:t>
              </a:fld>
              <a:endParaRPr lang="pt-BR" sz="3600" kern="1200">
                <a:solidFill>
                  <a:srgbClr val="FF460A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0074C5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078831" y="3178969"/>
          <a:ext cx="10334625" cy="329803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0074C5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393807</xdr:colOff>
      <xdr:row>1</xdr:row>
      <xdr:rowOff>0</xdr:rowOff>
    </xdr:from>
    <xdr:to>
      <xdr:col>0</xdr:col>
      <xdr:colOff>1114986</xdr:colOff>
      <xdr:row>4</xdr:row>
      <xdr:rowOff>13608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EC4DB9D8-18DD-49D2-B4D2-0B5AC081D94F}"/>
            </a:ext>
          </a:extLst>
        </xdr:cNvPr>
        <xdr:cNvSpPr/>
      </xdr:nvSpPr>
      <xdr:spPr>
        <a:xfrm>
          <a:off x="393807" y="190500"/>
          <a:ext cx="721179" cy="72117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bem-vindo, Pedro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19/10/2026 09:00:00</a:t>
          </a:r>
        </a:p>
      </xdr:txBody>
    </xdr:sp>
    <xdr:clientData/>
  </xdr:twoCellAnchor>
  <xdr:twoCellAnchor editAs="absolute">
    <xdr:from>
      <xdr:col>0</xdr:col>
      <xdr:colOff>76200</xdr:colOff>
      <xdr:row>21</xdr:row>
      <xdr:rowOff>0</xdr:rowOff>
    </xdr:from>
    <xdr:to>
      <xdr:col>0</xdr:col>
      <xdr:colOff>1950000</xdr:colOff>
      <xdr:row>23</xdr:row>
      <xdr:rowOff>0</xdr:rowOff>
    </xdr:to>
    <xdr:sp macro="" textlink="">
      <xdr:nvSpPr>
        <xdr:cNvPr id="900" name="Assinatura">
          <a:hlinkClick xmlns:r="http://schemas.openxmlformats.org/officeDocument/2006/relationships" r:id="rId90" tooltip="LinkedIn de Pedro Christo"/>
        </xdr:cNvPr>
        <xdr:cNvSpPr/>
      </xdr:nvSpPr>
      <xdr:spPr>
        <a:xfrm>
          <a:off x="76200" y="4200000"/>
          <a:ext cx="1873800" cy="380000"/>
        </a:xfrm>
        <a:prstGeom prst="rect">
          <a:avLst/>
        </a:prstGeom>
        <a:noFill/>
        <a:ln>
          <a:noFill/>
        </a:ln>
      </xdr:spPr>
      <xdr:txBody>
        <a:bodyPr wrap="square" lIns="0" rIns="0" anchor="ctr"/>
        <a:lstStyle/>
        <a:p>
          <a:pPr algn="ctr"/>
          <a:r>
            <a:rPr lang="pt-BR" sz="800" b="0">
              <a:solidFill>
                <a:srgbClr val="FFFFFF">
                  <a:alpha val="80000"/>
                </a:srgbClr>
              </a:solidFill>
              <a:latin typeface="Segoe UI"/>
            </a:rPr>
            <a:t>SYSTEM BY PEDRO CHRISTO</a:t>
          </a:r>
        </a:p>
        <a:p>
          <a:pPr algn="ctr"/>
          <a:r>
            <a:rPr lang="pt-BR" sz="800" b="1">
              <a:solidFill>
                <a:srgbClr val="FFFFFF"/>
              </a:solidFill>
              <a:latin typeface="Segoe UI"/>
            </a:rPr>
            <a:t>in  /pedro-christo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2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2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2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1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/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2" dataCellStyle="Moeda"/>
    <tableColumn id="9" xr3:uid="{6E29F111-C395-4580-9DAD-3407D9E8B1A4}" name="Minecraft Season Pass" dataDxfId="6"/>
    <tableColumn id="10" xr3:uid="{EF544EAA-7F25-4FD5-A10E-8E62804DB9E3}" name="Minecraft Season Pass Price" dataDxfId="5" dataCellStyle="Moeda"/>
    <tableColumn id="11" xr3:uid="{7F6EB64A-1F07-4E48-9F0F-AC7D9DCD26F8}" name="Coupon Value" dataDxfId="4" dataCellStyle="Moeda"/>
    <tableColumn id="12" xr3:uid="{2B04ABC8-DE6F-426E-ADC0-D8AFC68CA58E}" name="Total Value" dataDxfId="3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0074C5"/>
      </a:accent1>
      <a:accent2>
        <a:srgbClr val="FF460A"/>
      </a:accent2>
      <a:accent3>
        <a:srgbClr val="049DD9"/>
      </a:accent3>
      <a:accent4>
        <a:srgbClr val="03588C"/>
      </a:accent4>
      <a:accent5>
        <a:srgbClr val="014E90"/>
      </a:accent5>
      <a:accent6>
        <a:srgbClr val="0074C5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inlineStr">
        <is>
          <t># 0074C5</t>
        </is>
      </c>
      <c r="C5" t="inlineStr">
        <is>
          <t>Azul principal – cards e barras</t>
        </is>
      </c>
      <c r="E5" s="7" t="inlineStr">
        <is>
          <t># EAF1F8</t>
        </is>
      </c>
      <c r="F5" t="inlineStr">
        <is>
          <t>negative zone (fundo)</t>
        </is>
      </c>
    </row>
    <row r="6" spans="2:16" x14ac:dyDescent="0.25">
      <c r="B6" s="4" t="inlineStr">
        <is>
          <t># 014E90</t>
        </is>
      </c>
      <c r="C6" t="inlineStr">
        <is>
          <t>Azul-marinho – menu lateral e segmentação</t>
        </is>
      </c>
    </row>
    <row r="7" spans="2:16" x14ac:dyDescent="0.25">
      <c r="B7" s="5" t="inlineStr">
        <is>
          <t># 03588C</t>
        </is>
      </c>
      <c r="C7" t="inlineStr">
        <is>
          <t>Azul-petróleo – apoio / menus</t>
        </is>
      </c>
    </row>
    <row r="8" spans="2:16" x14ac:dyDescent="0.25">
      <c r="B8" s="6" t="inlineStr">
        <is>
          <t># 049DD9</t>
        </is>
      </c>
      <c r="C8" t="inlineStr">
        <is>
          <t>Azul-claro – menus / destaques secundários</t>
        </is>
      </c>
    </row>
    <row r="9" spans="2:16" x14ac:dyDescent="0.25">
      <c r="B9" s="21" t="inlineStr">
        <is>
          <t># FF460A</t>
        </is>
      </c>
      <c r="C9" t="inlineStr">
        <is>
          <t>Laranja – valores dos KPIs e linha do título</t>
        </is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topLeftCell="A16" workbookViewId="0">
      <selection activeCell="E36" sqref="E36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0.57031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 x14ac:dyDescent="0.25">
      <c r="B3" s="16" t="s">
        <v>317</v>
      </c>
      <c r="C3" s="16"/>
      <c r="D3" s="16"/>
      <c r="E3" s="16"/>
      <c r="F3" s="16"/>
    </row>
    <row r="6" spans="2:6" x14ac:dyDescent="0.25">
      <c r="B6" t="s">
        <v>318</v>
      </c>
    </row>
    <row r="7" spans="2:6" x14ac:dyDescent="0.25">
      <c r="B7" t="s">
        <v>320</v>
      </c>
    </row>
    <row r="9" spans="2:6" x14ac:dyDescent="0.25">
      <c r="B9" s="12" t="s">
        <v>16</v>
      </c>
      <c r="C9" t="s">
        <v>20</v>
      </c>
    </row>
    <row r="11" spans="2:6" x14ac:dyDescent="0.25">
      <c r="B11" s="12" t="s">
        <v>309</v>
      </c>
      <c r="C11" t="s">
        <v>319</v>
      </c>
    </row>
    <row r="12" spans="2:6" x14ac:dyDescent="0.25">
      <c r="B12" s="14" t="s">
        <v>23</v>
      </c>
      <c r="C12" s="13">
        <v>2824</v>
      </c>
    </row>
    <row r="13" spans="2:6" x14ac:dyDescent="0.25">
      <c r="B13" s="14" t="s">
        <v>19</v>
      </c>
      <c r="C13" s="13">
        <v>747</v>
      </c>
    </row>
    <row r="14" spans="2:6" x14ac:dyDescent="0.25">
      <c r="B14" s="14" t="s">
        <v>310</v>
      </c>
      <c r="C14" s="13">
        <v>3571</v>
      </c>
    </row>
    <row r="17" spans="2:5" x14ac:dyDescent="0.25">
      <c r="B17" s="14" t="s">
        <v>321</v>
      </c>
    </row>
    <row r="19" spans="2:5" x14ac:dyDescent="0.25">
      <c r="B19" s="12" t="s">
        <v>16</v>
      </c>
      <c r="C19" t="s">
        <v>20</v>
      </c>
    </row>
    <row r="21" spans="2:5" x14ac:dyDescent="0.25">
      <c r="B21" s="12" t="s">
        <v>309</v>
      </c>
      <c r="C21" t="s">
        <v>316</v>
      </c>
    </row>
    <row r="22" spans="2:5" x14ac:dyDescent="0.25">
      <c r="B22" s="14" t="s">
        <v>22</v>
      </c>
      <c r="C22" s="15">
        <v>0</v>
      </c>
    </row>
    <row r="23" spans="2:5" x14ac:dyDescent="0.25">
      <c r="B23" s="14" t="s">
        <v>26</v>
      </c>
      <c r="C23" s="15">
        <v>0</v>
      </c>
    </row>
    <row r="24" spans="2:5" x14ac:dyDescent="0.25">
      <c r="B24" s="14" t="s">
        <v>18</v>
      </c>
      <c r="C24" s="15">
        <v>1350</v>
      </c>
    </row>
    <row r="25" spans="2:5" x14ac:dyDescent="0.25">
      <c r="B25" s="14" t="s">
        <v>310</v>
      </c>
      <c r="C25" s="15">
        <v>1350</v>
      </c>
      <c r="E25" s="18">
        <f>GETPIVOTDATA("EA Play Season Pass
Price",$B$21)</f>
        <v>1350</v>
      </c>
    </row>
    <row r="28" spans="2:5" x14ac:dyDescent="0.25">
      <c r="B28" s="14" t="s">
        <v>322</v>
      </c>
    </row>
    <row r="30" spans="2:5" x14ac:dyDescent="0.25">
      <c r="B30" s="12" t="s">
        <v>16</v>
      </c>
      <c r="C30" t="s">
        <v>20</v>
      </c>
    </row>
    <row r="32" spans="2:5" x14ac:dyDescent="0.25">
      <c r="B32" s="12" t="s">
        <v>309</v>
      </c>
      <c r="C32" t="s">
        <v>311</v>
      </c>
    </row>
    <row r="33" spans="2:5" x14ac:dyDescent="0.25">
      <c r="B33" s="14" t="s">
        <v>22</v>
      </c>
      <c r="C33" s="13">
        <v>0</v>
      </c>
    </row>
    <row r="34" spans="2:5" x14ac:dyDescent="0.25">
      <c r="B34" s="14" t="s">
        <v>26</v>
      </c>
      <c r="C34" s="13">
        <v>900</v>
      </c>
    </row>
    <row r="35" spans="2:5" x14ac:dyDescent="0.25">
      <c r="B35" s="14" t="s">
        <v>18</v>
      </c>
      <c r="C35" s="13">
        <v>900</v>
      </c>
    </row>
    <row r="36" spans="2:5" x14ac:dyDescent="0.25">
      <c r="B36" s="14" t="s">
        <v>310</v>
      </c>
      <c r="C36" s="13">
        <v>1800</v>
      </c>
      <c r="E36" s="18">
        <f>GETPIVOTDATA("Minecraft Season Pass Price",$B$32)</f>
        <v>1800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abSelected="1" zoomScaleNormal="100" workbookViewId="0">
      <selection activeCell="K13" sqref="K13"/>
    </sheetView>
  </sheetViews>
  <sheetFormatPr defaultRowHeight="15" x14ac:dyDescent="0.25"/>
  <cols>
    <col min="1" max="1" width="27.42578125" style="4" customWidth="1"/>
    <col min="2" max="2" width="3.5703125" customWidth="1"/>
    <col min="12" max="12" width="6.5703125" customWidth="1"/>
  </cols>
  <sheetData>
    <row r="2" spans="1:19" ht="27.75" customHeight="1" thickBot="1" x14ac:dyDescent="0.5">
      <c r="C2" s="20" t="s">
        <v>323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9"/>
      <c r="S2" s="19"/>
    </row>
    <row r="3" spans="1:19" ht="19.5" customHeight="1" thickTop="1" x14ac:dyDescent="0.25"/>
    <row r="4" spans="1:19" s="7" customFormat="1" ht="8.25" customHeight="1" x14ac:dyDescent="0.25">
      <c r="A4" s="4"/>
    </row>
    <row r="5" spans="1:19" s="7" customFormat="1" ht="7.5" customHeight="1" x14ac:dyDescent="0.25">
      <c r="A5" s="4"/>
    </row>
    <row r="6" spans="1:19" s="7" customFormat="1" ht="10.5" customHeight="1" x14ac:dyDescent="0.25">
      <c r="A6" s="4"/>
    </row>
    <row r="7" spans="1:19" s="7" customFormat="1" ht="9.75" customHeight="1" x14ac:dyDescent="0.25">
      <c r="A7" s="4"/>
    </row>
    <row r="8" spans="1:19" s="7" customFormat="1" ht="11.25" customHeight="1" x14ac:dyDescent="0.25">
      <c r="A8" s="4"/>
    </row>
    <row r="9" spans="1:19" s="7" customFormat="1" x14ac:dyDescent="0.25">
      <c r="A9" s="4"/>
    </row>
    <row r="10" spans="1:19" s="7" customFormat="1" x14ac:dyDescent="0.25">
      <c r="A10" s="4"/>
    </row>
    <row r="11" spans="1:19" s="7" customFormat="1" ht="14.25" customHeight="1" x14ac:dyDescent="0.25">
      <c r="A11" s="4"/>
    </row>
    <row r="12" spans="1:19" s="7" customFormat="1" x14ac:dyDescent="0.25">
      <c r="A12" s="4"/>
    </row>
    <row r="13" spans="1:19" s="7" customFormat="1" x14ac:dyDescent="0.25">
      <c r="A13" s="4"/>
    </row>
    <row r="14" spans="1:19" s="7" customFormat="1" x14ac:dyDescent="0.25">
      <c r="A14" s="4"/>
    </row>
    <row r="15" spans="1:19" s="7" customFormat="1" x14ac:dyDescent="0.25">
      <c r="A15" s="4"/>
    </row>
    <row r="16" spans="1:19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A6A6278B-0476-46CE-815A-3F41F4371156}"/>
</file>

<file path=customXml/itemProps2.xml><?xml version="1.0" encoding="utf-8"?>
<ds:datastoreItem xmlns:ds="http://schemas.openxmlformats.org/officeDocument/2006/customXml" ds:itemID="{B26109AA-4A63-4ABA-9238-1315B3F7EEAB}"/>
</file>

<file path=customXml/itemProps3.xml><?xml version="1.0" encoding="utf-8"?>
<ds:datastoreItem xmlns:ds="http://schemas.openxmlformats.org/officeDocument/2006/customXml" ds:itemID="{499037E4-A6E4-45D3-B93A-3D2B6A0C2B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Dashboard de Vendas - Xbox Game Pass</dc:title>
  <dc:creator>Pedro Christo</dc:creator>
  <cp:lastModifiedBy>Pedro Christo</cp:lastModifiedBy>
  <dcterms:created xsi:type="dcterms:W3CDTF">2024-12-19T13:13:10Z</dcterms:created>
  <dcterms:modified xsi:type="dcterms:W3CDTF">2024-12-26T02:30:29Z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